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estmatrix" sheetId="1" state="visible" r:id="rId3"/>
    <sheet name="Legende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<sst xmlns="http://schemas.openxmlformats.org/spreadsheetml/2006/main" count="322" uniqueCount="174">
  <si>
    <t xml:space="preserve">Testmatrix Stack-Taschenrechner</t>
  </si>
  <si>
    <t xml:space="preserve">Gelb hinterlegte Zellen ausfüllen (Status per Dropdown, Versionsnamen in Zeile 4 anpassbar). ␣ = Leertaste/ENTER. Details im Blatt „Legende“.</t>
  </si>
  <si>
    <t xml:space="preserve">ID</t>
  </si>
  <si>
    <t xml:space="preserve">Kategorie</t>
  </si>
  <si>
    <t xml:space="preserve">Testfall</t>
  </si>
  <si>
    <t xml:space="preserve">Eingabe</t>
  </si>
  <si>
    <t xml:space="preserve">Erwartetes Ergebnis</t>
  </si>
  <si>
    <t xml:space="preserve">Version 1</t>
  </si>
  <si>
    <t xml:space="preserve">Version 2</t>
  </si>
  <si>
    <t xml:space="preserve">Abgabe</t>
  </si>
  <si>
    <t xml:space="preserve">Bemerkung</t>
  </si>
  <si>
    <t xml:space="preserve">O01</t>
  </si>
  <si>
    <t xml:space="preserve">Operationen</t>
  </si>
  <si>
    <t xml:space="preserve">Zahl eingeben und ausgeben</t>
  </si>
  <si>
    <t xml:space="preserve">42␣p</t>
  </si>
  <si>
    <t xml:space="preserve">Anzeige: 42</t>
  </si>
  <si>
    <t xml:space="preserve">nicht durchgeführt</t>
  </si>
  <si>
    <t xml:space="preserve">O02</t>
  </si>
  <si>
    <t xml:space="preserve">Addition</t>
  </si>
  <si>
    <t xml:space="preserve">3␣4+p</t>
  </si>
  <si>
    <t xml:space="preserve">Anzeige: 7</t>
  </si>
  <si>
    <t xml:space="preserve">O03</t>
  </si>
  <si>
    <t xml:space="preserve">Subtraktion</t>
  </si>
  <si>
    <t xml:space="preserve">10␣3-p</t>
  </si>
  <si>
    <t xml:space="preserve">O04</t>
  </si>
  <si>
    <t xml:space="preserve">Subtraktion mit negativem Ergebnis (Reihenfolge)</t>
  </si>
  <si>
    <t xml:space="preserve">3␣10-p</t>
  </si>
  <si>
    <t xml:space="preserve">Anzeige: -7</t>
  </si>
  <si>
    <t xml:space="preserve">O05</t>
  </si>
  <si>
    <t xml:space="preserve">Multiplikation</t>
  </si>
  <si>
    <t xml:space="preserve">6␣7*p</t>
  </si>
  <si>
    <t xml:space="preserve">O06</t>
  </si>
  <si>
    <t xml:space="preserve">Division</t>
  </si>
  <si>
    <t xml:space="preserve">20␣4/p</t>
  </si>
  <si>
    <t xml:space="preserve">Anzeige: 5</t>
  </si>
  <si>
    <t xml:space="preserve">O07</t>
  </si>
  <si>
    <t xml:space="preserve">Ganzzahldivision (Rest wird abgeschnitten)</t>
  </si>
  <si>
    <t xml:space="preserve">7␣2/p</t>
  </si>
  <si>
    <t xml:space="preserve">Anzeige: 3</t>
  </si>
  <si>
    <t xml:space="preserve">O08</t>
  </si>
  <si>
    <t xml:space="preserve">Division mit negativem Wert</t>
  </si>
  <si>
    <t xml:space="preserve">0␣7-2/p</t>
  </si>
  <si>
    <t xml:space="preserve">Anzeige: -3</t>
  </si>
  <si>
    <t xml:space="preserve">O09</t>
  </si>
  <si>
    <t xml:space="preserve">Ausgabe p verändert den Stack nicht</t>
  </si>
  <si>
    <t xml:space="preserve">5␣pp</t>
  </si>
  <si>
    <t xml:space="preserve">Anzeige zweimal: 5</t>
  </si>
  <si>
    <t xml:space="preserve">O10</t>
  </si>
  <si>
    <t xml:space="preserve">Gesamtausgabe P</t>
  </si>
  <si>
    <t xml:space="preserve">1␣2␣3␣P</t>
  </si>
  <si>
    <t xml:space="preserve">Anzeige: 3, 2, 1 (oberstes zuerst)</t>
  </si>
  <si>
    <t xml:space="preserve">O11</t>
  </si>
  <si>
    <t xml:space="preserve">Tauschen r</t>
  </si>
  <si>
    <t xml:space="preserve">1␣2␣rP</t>
  </si>
  <si>
    <t xml:space="preserve">Anzeige: 1, 2</t>
  </si>
  <si>
    <t xml:space="preserve">O12</t>
  </si>
  <si>
    <t xml:space="preserve">Verdoppeln d</t>
  </si>
  <si>
    <t xml:space="preserve">5␣dP</t>
  </si>
  <si>
    <t xml:space="preserve">Anzeige: 5, 5</t>
  </si>
  <si>
    <t xml:space="preserve">O13</t>
  </si>
  <si>
    <t xml:space="preserve">Löschen C</t>
  </si>
  <si>
    <t xml:space="preserve">1␣2␣CP</t>
  </si>
  <si>
    <t xml:space="preserve">Anzeige gelöscht, Meldung Stack leer</t>
  </si>
  <si>
    <t xml:space="preserve">O14</t>
  </si>
  <si>
    <t xml:space="preserve">Verkettete Rechnung</t>
  </si>
  <si>
    <t xml:space="preserve">2␣3+4*p</t>
  </si>
  <si>
    <t xml:space="preserve">Anzeige: 20</t>
  </si>
  <si>
    <t xml:space="preserve">O15</t>
  </si>
  <si>
    <t xml:space="preserve">Unbekannte Taste</t>
  </si>
  <si>
    <t xml:space="preserve">nicht belegte Taste drücken</t>
  </si>
  <si>
    <t xml:space="preserve">Fehlermeldung, Stack unverändert</t>
  </si>
  <si>
    <t xml:space="preserve">S01</t>
  </si>
  <si>
    <t xml:space="preserve">Stack Over-/Underflow</t>
  </si>
  <si>
    <t xml:space="preserve">Stack-Overflow: 11. Zahl eingeben</t>
  </si>
  <si>
    <t xml:space="preserve">1␣2␣3␣4␣5␣6␣7␣8␣9␣10␣11␣</t>
  </si>
  <si>
    <t xml:space="preserve">Fehler Stack voll, P zeigt 10..1</t>
  </si>
  <si>
    <t xml:space="preserve">S02</t>
  </si>
  <si>
    <t xml:space="preserve">Verdoppeln bei vollem Stack</t>
  </si>
  <si>
    <t xml:space="preserve">10 Zahlen eingeben, dann d</t>
  </si>
  <si>
    <t xml:space="preserve">Fehler Stack voll, Stack unverändert</t>
  </si>
  <si>
    <t xml:space="preserve">S03</t>
  </si>
  <si>
    <t xml:space="preserve">Ausgabe p bei leerem Stack</t>
  </si>
  <si>
    <t xml:space="preserve">Cp</t>
  </si>
  <si>
    <t xml:space="preserve">Fehler Stack leer</t>
  </si>
  <si>
    <t xml:space="preserve">S04</t>
  </si>
  <si>
    <t xml:space="preserve">Gesamtausgabe P bei leerem Stack</t>
  </si>
  <si>
    <t xml:space="preserve">CP</t>
  </si>
  <si>
    <t xml:space="preserve">S05</t>
  </si>
  <si>
    <t xml:space="preserve">Operator bei leerem Stack</t>
  </si>
  <si>
    <t xml:space="preserve">C+</t>
  </si>
  <si>
    <t xml:space="preserve">Fehler zu wenig Werte, Stack bleibt leer</t>
  </si>
  <si>
    <t xml:space="preserve">S06</t>
  </si>
  <si>
    <t xml:space="preserve">Operator mit nur einem Wert</t>
  </si>
  <si>
    <t xml:space="preserve">C5␣+P</t>
  </si>
  <si>
    <t xml:space="preserve">Fehler zu wenig Werte, P zeigt 5</t>
  </si>
  <si>
    <t xml:space="preserve">S07</t>
  </si>
  <si>
    <t xml:space="preserve">Tauschen mit nur einem Wert</t>
  </si>
  <si>
    <t xml:space="preserve">C5␣rP</t>
  </si>
  <si>
    <t xml:space="preserve">S08</t>
  </si>
  <si>
    <t xml:space="preserve">Verdoppeln bei leerem Stack</t>
  </si>
  <si>
    <t xml:space="preserve">Cd</t>
  </si>
  <si>
    <t xml:space="preserve">S09</t>
  </si>
  <si>
    <t xml:space="preserve">Weiterrechnen nach Stack-Fehler</t>
  </si>
  <si>
    <t xml:space="preserve">nach S06: 3+p</t>
  </si>
  <si>
    <t xml:space="preserve">Anzeige: 8</t>
  </si>
  <si>
    <t xml:space="preserve">A01</t>
  </si>
  <si>
    <t xml:space="preserve">Arithmetischer Overflow</t>
  </si>
  <si>
    <t xml:space="preserve">(-2)*1024*1024*1024 ergibt keinen Overflow</t>
  </si>
  <si>
    <t xml:space="preserve">0␣2-1024*1024*1024*p</t>
  </si>
  <si>
    <t xml:space="preserve">Anzeige: -2147483648, kein Fehler</t>
  </si>
  <si>
    <t xml:space="preserve">A02</t>
  </si>
  <si>
    <t xml:space="preserve">((-2)*1024*1024*1024)*(-1) ergibt Overflow</t>
  </si>
  <si>
    <t xml:space="preserve">nach A01: 0␣1-*</t>
  </si>
  <si>
    <t xml:space="preserve">Fehler Overflow, P zeigt -1, -2147483648</t>
  </si>
  <si>
    <t xml:space="preserve">A03</t>
  </si>
  <si>
    <t xml:space="preserve">Division durch 0</t>
  </si>
  <si>
    <t xml:space="preserve">5␣0/</t>
  </si>
  <si>
    <t xml:space="preserve">Fehler Division durch 0, P zeigt 0, 5</t>
  </si>
  <si>
    <t xml:space="preserve">A04</t>
  </si>
  <si>
    <t xml:space="preserve">Eingabe 2.147.483.648 ergibt Fehler</t>
  </si>
  <si>
    <t xml:space="preserve">2147483648</t>
  </si>
  <si>
    <t xml:space="preserve">Fehler Zahl zu groß</t>
  </si>
  <si>
    <t xml:space="preserve">A05</t>
  </si>
  <si>
    <t xml:space="preserve">Eingabe 2.147.483.647 ergibt keinen Fehler</t>
  </si>
  <si>
    <t xml:space="preserve">2147483647␣p</t>
  </si>
  <si>
    <t xml:space="preserve">Anzeige: 2147483647, kein Fehler</t>
  </si>
  <si>
    <t xml:space="preserve">A06</t>
  </si>
  <si>
    <t xml:space="preserve">Ausgabe -2.147.483.648 ergibt keinen Fehler</t>
  </si>
  <si>
    <t xml:space="preserve">0␣2147483647-1-p</t>
  </si>
  <si>
    <t xml:space="preserve">A07</t>
  </si>
  <si>
    <t xml:space="preserve">Addition über INT_MAX</t>
  </si>
  <si>
    <t xml:space="preserve">2147483647␣1+</t>
  </si>
  <si>
    <t xml:space="preserve">Fehler Overflow, P zeigt 1, 2147483647</t>
  </si>
  <si>
    <t xml:space="preserve">A08</t>
  </si>
  <si>
    <t xml:space="preserve">Addition bis genau INT_MAX</t>
  </si>
  <si>
    <t xml:space="preserve">2147483646␣1+p</t>
  </si>
  <si>
    <t xml:space="preserve">A09</t>
  </si>
  <si>
    <t xml:space="preserve">Subtraktion unter INT_MIN</t>
  </si>
  <si>
    <t xml:space="preserve">nach A06: 1-</t>
  </si>
  <si>
    <t xml:space="preserve">Fehler Overflow, P zeigt 1, -2147483648</t>
  </si>
  <si>
    <t xml:space="preserve">A10</t>
  </si>
  <si>
    <t xml:space="preserve">Multiplikation über INT_MAX</t>
  </si>
  <si>
    <t xml:space="preserve">65536␣65536*</t>
  </si>
  <si>
    <t xml:space="preserve">Fehler Overflow</t>
  </si>
  <si>
    <t xml:space="preserve">A11</t>
  </si>
  <si>
    <t xml:space="preserve">Division INT_MIN / (-1)</t>
  </si>
  <si>
    <t xml:space="preserve">nach A06: 0␣1-/</t>
  </si>
  <si>
    <t xml:space="preserve">Zusammenfassung</t>
  </si>
  <si>
    <t xml:space="preserve">erfolgreich</t>
  </si>
  <si>
    <t xml:space="preserve">fehlgeschlagen</t>
  </si>
  <si>
    <t xml:space="preserve">Gesamt</t>
  </si>
  <si>
    <t xml:space="preserve">Legende</t>
  </si>
  <si>
    <t xml:space="preserve">Statuswerte</t>
  </si>
  <si>
    <t xml:space="preserve">Test wurde für diese Version noch nicht ausgeführt</t>
  </si>
  <si>
    <t xml:space="preserve">Ergebnis entspricht exakt dem erwarteten Ergebnis</t>
  </si>
  <si>
    <t xml:space="preserve">Ergebnis weicht ab; Abweichung in Spalte „Bemerkung“ notieren</t>
  </si>
  <si>
    <t xml:space="preserve">Eingabe-Notation</t>
  </si>
  <si>
    <t xml:space="preserve">␣</t>
  </si>
  <si>
    <t xml:space="preserve">Leertaste / ENTER (trennt zwei Zahlen)</t>
  </si>
  <si>
    <t xml:space="preserve">p / P</t>
  </si>
  <si>
    <t xml:space="preserve">Oberstes Element ausgeben / gesamten Stack ausgeben</t>
  </si>
  <si>
    <t xml:space="preserve">r / d / C</t>
  </si>
  <si>
    <t xml:space="preserve">Tauschen / Verdoppeln / Löschen</t>
  </si>
  <si>
    <t xml:space="preserve">nach Xnn</t>
  </si>
  <si>
    <t xml:space="preserve">Test setzt auf dem Stack-Zustand nach Test Xnn auf</t>
  </si>
  <si>
    <t xml:space="preserve">Hinweise</t>
  </si>
  <si>
    <t xml:space="preserve">Negative Zahlen</t>
  </si>
  <si>
    <t xml:space="preserve">Werden über 0 minus x erzeugt, z. B. 0␣2- ergibt -2</t>
  </si>
  <si>
    <t xml:space="preserve">Grenzwerte</t>
  </si>
  <si>
    <t xml:space="preserve">INT_MAX = 2147483647, INT_MIN = -2147483648, Stackgröße = 10</t>
  </si>
  <si>
    <t xml:space="preserve">Versionen</t>
  </si>
  <si>
    <t xml:space="preserve">Spaltenköpfe in Zeile 4 des Blatts „Testmatrix“ durch die tatsächlichen SW-Versionen ersetzen; die Spalte „Abgabe“ muss vor der Präsentation vollständig ausgefüllt sein</t>
  </si>
  <si>
    <t xml:space="preserve">Fehlerfall</t>
  </si>
  <si>
    <t xml:space="preserve">Nach jedem Fehler sollte der Stack unverändert sein (mit P prüfen)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</si>
</sst>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sz val="10"/>
      <name val="Consolas"/>
      <family val="0"/>
      <charset val="1"/>
    </font>
    <font>
      <b val="true"/>
      <sz val="11"/>
      <name val="Arial"/>
      <family val="0"/>
      <charset val="1"/>
    </font>
    <font>
      <sz val="11"/>
      <name val="Arial"/>
      <family val="0"/>
      <charset val="1"/>
    </font>
    <font>
      <b val="true"/>
      <sz val="10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F5597"/>
        <bgColor rgb="FF1F3864"/>
      </patternFill>
    </fill>
    <fill>
      <patternFill patternType="solid">
        <fgColor rgb="FFFFF2CC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8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name val="Arial"/>
        <charset val="1"/>
        <family val="0"/>
        <color rgb="FF006100"/>
      </font>
      <fill>
        <patternFill>
          <bgColor rgb="FFC6EFCE"/>
        </patternFill>
      </fill>
    </dxf>
    <dxf>
      <font>
        <name val="Arial"/>
        <charset val="1"/>
        <family val="0"/>
        <color rgb="FF9C0006"/>
      </font>
      <fill>
        <patternFill>
          <bgColor rgb="FFFFC7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2F5597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4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F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22"/>
    <col collapsed="false" customWidth="true" hidden="false" outlineLevel="0" max="3" min="3" style="0" width="40"/>
    <col collapsed="false" customWidth="true" hidden="false" outlineLevel="0" max="4" min="4" style="0" width="30"/>
    <col collapsed="false" customWidth="true" hidden="false" outlineLevel="0" max="5" min="5" style="0" width="36"/>
    <col collapsed="false" customWidth="true" hidden="false" outlineLevel="0" max="8" min="6" style="0" width="17"/>
    <col collapsed="false" customWidth="true" hidden="false" outlineLevel="0" max="9" min="9" style="0" width="30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21.7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4" t="s">
        <v>7</v>
      </c>
      <c r="G4" s="4" t="s">
        <v>8</v>
      </c>
      <c r="H4" s="4" t="s">
        <v>9</v>
      </c>
      <c r="I4" s="3" t="s">
        <v>10</v>
      </c>
    </row>
    <row r="5" customFormat="false" ht="15" hidden="false" customHeight="false" outlineLevel="0" collapsed="false">
      <c r="A5" s="5" t="s">
        <v>11</v>
      </c>
      <c r="B5" s="5" t="s">
        <v>12</v>
      </c>
      <c r="C5" s="5" t="s">
        <v>13</v>
      </c>
      <c r="D5" s="6" t="s">
        <v>14</v>
      </c>
      <c r="E5" s="5" t="s">
        <v>15</v>
      </c>
      <c r="F5" s="7" t="s">
        <v>16</v>
      </c>
      <c r="G5" s="7" t="s">
        <v>16</v>
      </c>
      <c r="H5" s="7" t="s">
        <v>16</v>
      </c>
      <c r="I5" s="8"/>
    </row>
    <row r="6" customFormat="false" ht="15" hidden="false" customHeight="false" outlineLevel="0" collapsed="false">
      <c r="A6" s="5" t="s">
        <v>17</v>
      </c>
      <c r="B6" s="5" t="s">
        <v>12</v>
      </c>
      <c r="C6" s="5" t="s">
        <v>18</v>
      </c>
      <c r="D6" s="6" t="s">
        <v>19</v>
      </c>
      <c r="E6" s="5" t="s">
        <v>20</v>
      </c>
      <c r="F6" s="7" t="s">
        <v>16</v>
      </c>
      <c r="G6" s="7" t="s">
        <v>16</v>
      </c>
      <c r="H6" s="7" t="s">
        <v>16</v>
      </c>
      <c r="I6" s="8"/>
    </row>
    <row r="7" customFormat="false" ht="15" hidden="false" customHeight="false" outlineLevel="0" collapsed="false">
      <c r="A7" s="5" t="s">
        <v>21</v>
      </c>
      <c r="B7" s="5" t="s">
        <v>12</v>
      </c>
      <c r="C7" s="5" t="s">
        <v>22</v>
      </c>
      <c r="D7" s="6" t="s">
        <v>23</v>
      </c>
      <c r="E7" s="5" t="s">
        <v>20</v>
      </c>
      <c r="F7" s="7" t="s">
        <v>16</v>
      </c>
      <c r="G7" s="7" t="s">
        <v>16</v>
      </c>
      <c r="H7" s="7" t="s">
        <v>16</v>
      </c>
      <c r="I7" s="8"/>
    </row>
    <row r="8" customFormat="false" ht="23.85" hidden="false" customHeight="false" outlineLevel="0" collapsed="false">
      <c r="A8" s="5" t="s">
        <v>24</v>
      </c>
      <c r="B8" s="5" t="s">
        <v>12</v>
      </c>
      <c r="C8" s="5" t="s">
        <v>25</v>
      </c>
      <c r="D8" s="6" t="s">
        <v>26</v>
      </c>
      <c r="E8" s="5" t="s">
        <v>27</v>
      </c>
      <c r="F8" s="7" t="s">
        <v>16</v>
      </c>
      <c r="G8" s="7" t="s">
        <v>16</v>
      </c>
      <c r="H8" s="7" t="s">
        <v>16</v>
      </c>
      <c r="I8" s="8"/>
    </row>
    <row r="9" customFormat="false" ht="15" hidden="false" customHeight="false" outlineLevel="0" collapsed="false">
      <c r="A9" s="5" t="s">
        <v>28</v>
      </c>
      <c r="B9" s="5" t="s">
        <v>12</v>
      </c>
      <c r="C9" s="5" t="s">
        <v>29</v>
      </c>
      <c r="D9" s="6" t="s">
        <v>30</v>
      </c>
      <c r="E9" s="5" t="s">
        <v>15</v>
      </c>
      <c r="F9" s="7" t="s">
        <v>16</v>
      </c>
      <c r="G9" s="7" t="s">
        <v>16</v>
      </c>
      <c r="H9" s="7" t="s">
        <v>16</v>
      </c>
      <c r="I9" s="8"/>
    </row>
    <row r="10" customFormat="false" ht="15" hidden="false" customHeight="false" outlineLevel="0" collapsed="false">
      <c r="A10" s="5" t="s">
        <v>31</v>
      </c>
      <c r="B10" s="5" t="s">
        <v>12</v>
      </c>
      <c r="C10" s="5" t="s">
        <v>32</v>
      </c>
      <c r="D10" s="6" t="s">
        <v>33</v>
      </c>
      <c r="E10" s="5" t="s">
        <v>34</v>
      </c>
      <c r="F10" s="7" t="s">
        <v>16</v>
      </c>
      <c r="G10" s="7" t="s">
        <v>16</v>
      </c>
      <c r="H10" s="7" t="s">
        <v>16</v>
      </c>
      <c r="I10" s="8"/>
    </row>
    <row r="11" customFormat="false" ht="15" hidden="false" customHeight="false" outlineLevel="0" collapsed="false">
      <c r="A11" s="5" t="s">
        <v>35</v>
      </c>
      <c r="B11" s="5" t="s">
        <v>12</v>
      </c>
      <c r="C11" s="5" t="s">
        <v>36</v>
      </c>
      <c r="D11" s="6" t="s">
        <v>37</v>
      </c>
      <c r="E11" s="5" t="s">
        <v>38</v>
      </c>
      <c r="F11" s="7" t="s">
        <v>16</v>
      </c>
      <c r="G11" s="7" t="s">
        <v>16</v>
      </c>
      <c r="H11" s="7" t="s">
        <v>16</v>
      </c>
      <c r="I11" s="8"/>
    </row>
    <row r="12" customFormat="false" ht="15" hidden="false" customHeight="false" outlineLevel="0" collapsed="false">
      <c r="A12" s="5" t="s">
        <v>39</v>
      </c>
      <c r="B12" s="5" t="s">
        <v>12</v>
      </c>
      <c r="C12" s="5" t="s">
        <v>40</v>
      </c>
      <c r="D12" s="6" t="s">
        <v>41</v>
      </c>
      <c r="E12" s="5" t="s">
        <v>42</v>
      </c>
      <c r="F12" s="7" t="s">
        <v>16</v>
      </c>
      <c r="G12" s="7" t="s">
        <v>16</v>
      </c>
      <c r="H12" s="7" t="s">
        <v>16</v>
      </c>
      <c r="I12" s="8"/>
    </row>
    <row r="13" customFormat="false" ht="15" hidden="false" customHeight="false" outlineLevel="0" collapsed="false">
      <c r="A13" s="5" t="s">
        <v>43</v>
      </c>
      <c r="B13" s="5" t="s">
        <v>12</v>
      </c>
      <c r="C13" s="5" t="s">
        <v>44</v>
      </c>
      <c r="D13" s="6" t="s">
        <v>45</v>
      </c>
      <c r="E13" s="5" t="s">
        <v>46</v>
      </c>
      <c r="F13" s="7" t="s">
        <v>16</v>
      </c>
      <c r="G13" s="7" t="s">
        <v>16</v>
      </c>
      <c r="H13" s="7" t="s">
        <v>16</v>
      </c>
      <c r="I13" s="8"/>
    </row>
    <row r="14" customFormat="false" ht="15" hidden="false" customHeight="false" outlineLevel="0" collapsed="false">
      <c r="A14" s="5" t="s">
        <v>47</v>
      </c>
      <c r="B14" s="5" t="s">
        <v>12</v>
      </c>
      <c r="C14" s="5" t="s">
        <v>48</v>
      </c>
      <c r="D14" s="6" t="s">
        <v>49</v>
      </c>
      <c r="E14" s="5" t="s">
        <v>50</v>
      </c>
      <c r="F14" s="7" t="s">
        <v>16</v>
      </c>
      <c r="G14" s="7" t="s">
        <v>16</v>
      </c>
      <c r="H14" s="7" t="s">
        <v>16</v>
      </c>
      <c r="I14" s="8"/>
    </row>
    <row r="15" customFormat="false" ht="15" hidden="false" customHeight="false" outlineLevel="0" collapsed="false">
      <c r="A15" s="5" t="s">
        <v>51</v>
      </c>
      <c r="B15" s="5" t="s">
        <v>12</v>
      </c>
      <c r="C15" s="5" t="s">
        <v>52</v>
      </c>
      <c r="D15" s="6" t="s">
        <v>53</v>
      </c>
      <c r="E15" s="5" t="s">
        <v>54</v>
      </c>
      <c r="F15" s="7" t="s">
        <v>16</v>
      </c>
      <c r="G15" s="7" t="s">
        <v>16</v>
      </c>
      <c r="H15" s="7" t="s">
        <v>16</v>
      </c>
      <c r="I15" s="8"/>
    </row>
    <row r="16" customFormat="false" ht="15" hidden="false" customHeight="false" outlineLevel="0" collapsed="false">
      <c r="A16" s="5" t="s">
        <v>55</v>
      </c>
      <c r="B16" s="5" t="s">
        <v>12</v>
      </c>
      <c r="C16" s="5" t="s">
        <v>56</v>
      </c>
      <c r="D16" s="6" t="s">
        <v>57</v>
      </c>
      <c r="E16" s="5" t="s">
        <v>58</v>
      </c>
      <c r="F16" s="7" t="s">
        <v>16</v>
      </c>
      <c r="G16" s="7" t="s">
        <v>16</v>
      </c>
      <c r="H16" s="7" t="s">
        <v>16</v>
      </c>
      <c r="I16" s="8"/>
    </row>
    <row r="17" customFormat="false" ht="15" hidden="false" customHeight="false" outlineLevel="0" collapsed="false">
      <c r="A17" s="5" t="s">
        <v>59</v>
      </c>
      <c r="B17" s="5" t="s">
        <v>12</v>
      </c>
      <c r="C17" s="5" t="s">
        <v>60</v>
      </c>
      <c r="D17" s="6" t="s">
        <v>61</v>
      </c>
      <c r="E17" s="5" t="s">
        <v>62</v>
      </c>
      <c r="F17" s="7" t="s">
        <v>16</v>
      </c>
      <c r="G17" s="7" t="s">
        <v>16</v>
      </c>
      <c r="H17" s="7" t="s">
        <v>16</v>
      </c>
      <c r="I17" s="8"/>
    </row>
    <row r="18" customFormat="false" ht="15" hidden="false" customHeight="false" outlineLevel="0" collapsed="false">
      <c r="A18" s="5" t="s">
        <v>63</v>
      </c>
      <c r="B18" s="5" t="s">
        <v>12</v>
      </c>
      <c r="C18" s="5" t="s">
        <v>64</v>
      </c>
      <c r="D18" s="6" t="s">
        <v>65</v>
      </c>
      <c r="E18" s="5" t="s">
        <v>66</v>
      </c>
      <c r="F18" s="7" t="s">
        <v>16</v>
      </c>
      <c r="G18" s="7" t="s">
        <v>16</v>
      </c>
      <c r="H18" s="7" t="s">
        <v>16</v>
      </c>
      <c r="I18" s="8"/>
    </row>
    <row r="19" customFormat="false" ht="15" hidden="false" customHeight="false" outlineLevel="0" collapsed="false">
      <c r="A19" s="5" t="s">
        <v>67</v>
      </c>
      <c r="B19" s="5" t="s">
        <v>12</v>
      </c>
      <c r="C19" s="5" t="s">
        <v>68</v>
      </c>
      <c r="D19" s="6" t="s">
        <v>69</v>
      </c>
      <c r="E19" s="5" t="s">
        <v>70</v>
      </c>
      <c r="F19" s="7" t="s">
        <v>16</v>
      </c>
      <c r="G19" s="7" t="s">
        <v>16</v>
      </c>
      <c r="H19" s="7" t="s">
        <v>16</v>
      </c>
      <c r="I19" s="8"/>
    </row>
    <row r="20" customFormat="false" ht="15" hidden="false" customHeight="false" outlineLevel="0" collapsed="false">
      <c r="A20" s="5" t="s">
        <v>71</v>
      </c>
      <c r="B20" s="5" t="s">
        <v>72</v>
      </c>
      <c r="C20" s="5" t="s">
        <v>73</v>
      </c>
      <c r="D20" s="6" t="s">
        <v>74</v>
      </c>
      <c r="E20" s="5" t="s">
        <v>75</v>
      </c>
      <c r="F20" s="7" t="s">
        <v>16</v>
      </c>
      <c r="G20" s="7" t="s">
        <v>16</v>
      </c>
      <c r="H20" s="7" t="s">
        <v>16</v>
      </c>
      <c r="I20" s="8"/>
    </row>
    <row r="21" customFormat="false" ht="15" hidden="false" customHeight="false" outlineLevel="0" collapsed="false">
      <c r="A21" s="5" t="s">
        <v>76</v>
      </c>
      <c r="B21" s="5" t="s">
        <v>72</v>
      </c>
      <c r="C21" s="5" t="s">
        <v>77</v>
      </c>
      <c r="D21" s="6" t="s">
        <v>78</v>
      </c>
      <c r="E21" s="5" t="s">
        <v>79</v>
      </c>
      <c r="F21" s="7" t="s">
        <v>16</v>
      </c>
      <c r="G21" s="7" t="s">
        <v>16</v>
      </c>
      <c r="H21" s="7" t="s">
        <v>16</v>
      </c>
      <c r="I21" s="8"/>
    </row>
    <row r="22" customFormat="false" ht="15" hidden="false" customHeight="false" outlineLevel="0" collapsed="false">
      <c r="A22" s="5" t="s">
        <v>80</v>
      </c>
      <c r="B22" s="5" t="s">
        <v>72</v>
      </c>
      <c r="C22" s="5" t="s">
        <v>81</v>
      </c>
      <c r="D22" s="6" t="s">
        <v>82</v>
      </c>
      <c r="E22" s="5" t="s">
        <v>83</v>
      </c>
      <c r="F22" s="7" t="s">
        <v>16</v>
      </c>
      <c r="G22" s="7" t="s">
        <v>16</v>
      </c>
      <c r="H22" s="7" t="s">
        <v>16</v>
      </c>
      <c r="I22" s="8"/>
    </row>
    <row r="23" customFormat="false" ht="15" hidden="false" customHeight="false" outlineLevel="0" collapsed="false">
      <c r="A23" s="5" t="s">
        <v>84</v>
      </c>
      <c r="B23" s="5" t="s">
        <v>72</v>
      </c>
      <c r="C23" s="5" t="s">
        <v>85</v>
      </c>
      <c r="D23" s="6" t="s">
        <v>86</v>
      </c>
      <c r="E23" s="5" t="s">
        <v>83</v>
      </c>
      <c r="F23" s="7" t="s">
        <v>16</v>
      </c>
      <c r="G23" s="7" t="s">
        <v>16</v>
      </c>
      <c r="H23" s="7" t="s">
        <v>16</v>
      </c>
      <c r="I23" s="8"/>
    </row>
    <row r="24" customFormat="false" ht="15" hidden="false" customHeight="false" outlineLevel="0" collapsed="false">
      <c r="A24" s="5" t="s">
        <v>87</v>
      </c>
      <c r="B24" s="5" t="s">
        <v>72</v>
      </c>
      <c r="C24" s="5" t="s">
        <v>88</v>
      </c>
      <c r="D24" s="6" t="s">
        <v>89</v>
      </c>
      <c r="E24" s="5" t="s">
        <v>90</v>
      </c>
      <c r="F24" s="7" t="s">
        <v>16</v>
      </c>
      <c r="G24" s="7" t="s">
        <v>16</v>
      </c>
      <c r="H24" s="7" t="s">
        <v>16</v>
      </c>
      <c r="I24" s="8"/>
    </row>
    <row r="25" customFormat="false" ht="15" hidden="false" customHeight="false" outlineLevel="0" collapsed="false">
      <c r="A25" s="5" t="s">
        <v>91</v>
      </c>
      <c r="B25" s="5" t="s">
        <v>72</v>
      </c>
      <c r="C25" s="5" t="s">
        <v>92</v>
      </c>
      <c r="D25" s="6" t="s">
        <v>93</v>
      </c>
      <c r="E25" s="5" t="s">
        <v>94</v>
      </c>
      <c r="F25" s="7" t="s">
        <v>16</v>
      </c>
      <c r="G25" s="7" t="s">
        <v>16</v>
      </c>
      <c r="H25" s="7" t="s">
        <v>16</v>
      </c>
      <c r="I25" s="8"/>
    </row>
    <row r="26" customFormat="false" ht="15" hidden="false" customHeight="false" outlineLevel="0" collapsed="false">
      <c r="A26" s="5" t="s">
        <v>95</v>
      </c>
      <c r="B26" s="5" t="s">
        <v>72</v>
      </c>
      <c r="C26" s="5" t="s">
        <v>96</v>
      </c>
      <c r="D26" s="6" t="s">
        <v>97</v>
      </c>
      <c r="E26" s="5" t="s">
        <v>94</v>
      </c>
      <c r="F26" s="7" t="s">
        <v>16</v>
      </c>
      <c r="G26" s="7" t="s">
        <v>16</v>
      </c>
      <c r="H26" s="7" t="s">
        <v>16</v>
      </c>
      <c r="I26" s="8"/>
    </row>
    <row r="27" customFormat="false" ht="15" hidden="false" customHeight="false" outlineLevel="0" collapsed="false">
      <c r="A27" s="5" t="s">
        <v>98</v>
      </c>
      <c r="B27" s="5" t="s">
        <v>72</v>
      </c>
      <c r="C27" s="5" t="s">
        <v>99</v>
      </c>
      <c r="D27" s="6" t="s">
        <v>100</v>
      </c>
      <c r="E27" s="5" t="s">
        <v>83</v>
      </c>
      <c r="F27" s="7" t="s">
        <v>16</v>
      </c>
      <c r="G27" s="7" t="s">
        <v>16</v>
      </c>
      <c r="H27" s="7" t="s">
        <v>16</v>
      </c>
      <c r="I27" s="8"/>
    </row>
    <row r="28" customFormat="false" ht="15" hidden="false" customHeight="false" outlineLevel="0" collapsed="false">
      <c r="A28" s="5" t="s">
        <v>101</v>
      </c>
      <c r="B28" s="5" t="s">
        <v>72</v>
      </c>
      <c r="C28" s="5" t="s">
        <v>102</v>
      </c>
      <c r="D28" s="6" t="s">
        <v>103</v>
      </c>
      <c r="E28" s="5" t="s">
        <v>104</v>
      </c>
      <c r="F28" s="7" t="s">
        <v>16</v>
      </c>
      <c r="G28" s="7" t="s">
        <v>16</v>
      </c>
      <c r="H28" s="7" t="s">
        <v>16</v>
      </c>
      <c r="I28" s="8"/>
    </row>
    <row r="29" customFormat="false" ht="15" hidden="false" customHeight="false" outlineLevel="0" collapsed="false">
      <c r="A29" s="5" t="s">
        <v>105</v>
      </c>
      <c r="B29" s="5" t="s">
        <v>106</v>
      </c>
      <c r="C29" s="5" t="s">
        <v>107</v>
      </c>
      <c r="D29" s="6" t="s">
        <v>108</v>
      </c>
      <c r="E29" s="5" t="s">
        <v>109</v>
      </c>
      <c r="F29" s="7" t="s">
        <v>16</v>
      </c>
      <c r="G29" s="7" t="s">
        <v>16</v>
      </c>
      <c r="H29" s="7" t="s">
        <v>16</v>
      </c>
      <c r="I29" s="8"/>
    </row>
    <row r="30" customFormat="false" ht="15" hidden="false" customHeight="false" outlineLevel="0" collapsed="false">
      <c r="A30" s="5" t="s">
        <v>110</v>
      </c>
      <c r="B30" s="5" t="s">
        <v>106</v>
      </c>
      <c r="C30" s="5" t="s">
        <v>111</v>
      </c>
      <c r="D30" s="6" t="s">
        <v>112</v>
      </c>
      <c r="E30" s="5" t="s">
        <v>113</v>
      </c>
      <c r="F30" s="7" t="s">
        <v>16</v>
      </c>
      <c r="G30" s="7" t="s">
        <v>16</v>
      </c>
      <c r="H30" s="7" t="s">
        <v>16</v>
      </c>
      <c r="I30" s="8"/>
    </row>
    <row r="31" customFormat="false" ht="15" hidden="false" customHeight="false" outlineLevel="0" collapsed="false">
      <c r="A31" s="5" t="s">
        <v>114</v>
      </c>
      <c r="B31" s="5" t="s">
        <v>106</v>
      </c>
      <c r="C31" s="5" t="s">
        <v>115</v>
      </c>
      <c r="D31" s="6" t="s">
        <v>116</v>
      </c>
      <c r="E31" s="5" t="s">
        <v>117</v>
      </c>
      <c r="F31" s="7" t="s">
        <v>16</v>
      </c>
      <c r="G31" s="7" t="s">
        <v>16</v>
      </c>
      <c r="H31" s="7" t="s">
        <v>16</v>
      </c>
      <c r="I31" s="8"/>
    </row>
    <row r="32" customFormat="false" ht="15" hidden="false" customHeight="false" outlineLevel="0" collapsed="false">
      <c r="A32" s="5" t="s">
        <v>118</v>
      </c>
      <c r="B32" s="5" t="s">
        <v>106</v>
      </c>
      <c r="C32" s="5" t="s">
        <v>119</v>
      </c>
      <c r="D32" s="6" t="s">
        <v>120</v>
      </c>
      <c r="E32" s="5" t="s">
        <v>121</v>
      </c>
      <c r="F32" s="7" t="s">
        <v>16</v>
      </c>
      <c r="G32" s="7" t="s">
        <v>16</v>
      </c>
      <c r="H32" s="7" t="s">
        <v>16</v>
      </c>
      <c r="I32" s="8"/>
    </row>
    <row r="33" customFormat="false" ht="15" hidden="false" customHeight="false" outlineLevel="0" collapsed="false">
      <c r="A33" s="5" t="s">
        <v>122</v>
      </c>
      <c r="B33" s="5" t="s">
        <v>106</v>
      </c>
      <c r="C33" s="5" t="s">
        <v>123</v>
      </c>
      <c r="D33" s="6" t="s">
        <v>124</v>
      </c>
      <c r="E33" s="5" t="s">
        <v>125</v>
      </c>
      <c r="F33" s="7" t="s">
        <v>16</v>
      </c>
      <c r="G33" s="7" t="s">
        <v>16</v>
      </c>
      <c r="H33" s="7" t="s">
        <v>16</v>
      </c>
      <c r="I33" s="8"/>
    </row>
    <row r="34" customFormat="false" ht="15" hidden="false" customHeight="false" outlineLevel="0" collapsed="false">
      <c r="A34" s="5" t="s">
        <v>126</v>
      </c>
      <c r="B34" s="5" t="s">
        <v>106</v>
      </c>
      <c r="C34" s="5" t="s">
        <v>127</v>
      </c>
      <c r="D34" s="6" t="s">
        <v>128</v>
      </c>
      <c r="E34" s="5" t="s">
        <v>109</v>
      </c>
      <c r="F34" s="7" t="s">
        <v>16</v>
      </c>
      <c r="G34" s="7" t="s">
        <v>16</v>
      </c>
      <c r="H34" s="7" t="s">
        <v>16</v>
      </c>
      <c r="I34" s="8"/>
    </row>
    <row r="35" customFormat="false" ht="15" hidden="false" customHeight="false" outlineLevel="0" collapsed="false">
      <c r="A35" s="5" t="s">
        <v>129</v>
      </c>
      <c r="B35" s="5" t="s">
        <v>106</v>
      </c>
      <c r="C35" s="5" t="s">
        <v>130</v>
      </c>
      <c r="D35" s="6" t="s">
        <v>131</v>
      </c>
      <c r="E35" s="5" t="s">
        <v>132</v>
      </c>
      <c r="F35" s="7" t="s">
        <v>16</v>
      </c>
      <c r="G35" s="7" t="s">
        <v>16</v>
      </c>
      <c r="H35" s="7" t="s">
        <v>16</v>
      </c>
      <c r="I35" s="8"/>
    </row>
    <row r="36" customFormat="false" ht="15" hidden="false" customHeight="false" outlineLevel="0" collapsed="false">
      <c r="A36" s="5" t="s">
        <v>133</v>
      </c>
      <c r="B36" s="5" t="s">
        <v>106</v>
      </c>
      <c r="C36" s="5" t="s">
        <v>134</v>
      </c>
      <c r="D36" s="6" t="s">
        <v>135</v>
      </c>
      <c r="E36" s="5" t="s">
        <v>125</v>
      </c>
      <c r="F36" s="7" t="s">
        <v>16</v>
      </c>
      <c r="G36" s="7" t="s">
        <v>16</v>
      </c>
      <c r="H36" s="7" t="s">
        <v>16</v>
      </c>
      <c r="I36" s="8"/>
    </row>
    <row r="37" customFormat="false" ht="15" hidden="false" customHeight="false" outlineLevel="0" collapsed="false">
      <c r="A37" s="5" t="s">
        <v>136</v>
      </c>
      <c r="B37" s="5" t="s">
        <v>106</v>
      </c>
      <c r="C37" s="5" t="s">
        <v>137</v>
      </c>
      <c r="D37" s="6" t="s">
        <v>138</v>
      </c>
      <c r="E37" s="5" t="s">
        <v>139</v>
      </c>
      <c r="F37" s="7" t="s">
        <v>16</v>
      </c>
      <c r="G37" s="7" t="s">
        <v>16</v>
      </c>
      <c r="H37" s="7" t="s">
        <v>16</v>
      </c>
      <c r="I37" s="8"/>
    </row>
    <row r="38" customFormat="false" ht="15" hidden="false" customHeight="false" outlineLevel="0" collapsed="false">
      <c r="A38" s="5" t="s">
        <v>140</v>
      </c>
      <c r="B38" s="5" t="s">
        <v>106</v>
      </c>
      <c r="C38" s="5" t="s">
        <v>141</v>
      </c>
      <c r="D38" s="6" t="s">
        <v>142</v>
      </c>
      <c r="E38" s="5" t="s">
        <v>143</v>
      </c>
      <c r="F38" s="7" t="s">
        <v>16</v>
      </c>
      <c r="G38" s="7" t="s">
        <v>16</v>
      </c>
      <c r="H38" s="7" t="s">
        <v>16</v>
      </c>
      <c r="I38" s="8"/>
    </row>
    <row r="39" customFormat="false" ht="15" hidden="false" customHeight="false" outlineLevel="0" collapsed="false">
      <c r="A39" s="5" t="s">
        <v>144</v>
      </c>
      <c r="B39" s="5" t="s">
        <v>106</v>
      </c>
      <c r="C39" s="5" t="s">
        <v>145</v>
      </c>
      <c r="D39" s="6" t="s">
        <v>146</v>
      </c>
      <c r="E39" s="5" t="s">
        <v>143</v>
      </c>
      <c r="F39" s="7" t="s">
        <v>16</v>
      </c>
      <c r="G39" s="7" t="s">
        <v>16</v>
      </c>
      <c r="H39" s="7" t="s">
        <v>16</v>
      </c>
      <c r="I39" s="8"/>
    </row>
    <row r="41" customFormat="false" ht="15" hidden="false" customHeight="false" outlineLevel="0" collapsed="false">
      <c r="E41" s="9" t="s">
        <v>147</v>
      </c>
    </row>
    <row r="42" customFormat="false" ht="15" hidden="false" customHeight="false" outlineLevel="0" collapsed="false">
      <c r="E42" s="10" t="s">
        <v>16</v>
      </c>
      <c r="F42" s="11" t="n">
        <f aca="false">COUNTIF(F5:F39,"nicht durchgeführt")</f>
        <v>35</v>
      </c>
      <c r="G42" s="11" t="n">
        <f aca="false">COUNTIF(G5:G39,"nicht durchgeführt")</f>
        <v>35</v>
      </c>
      <c r="H42" s="11" t="n">
        <f aca="false">COUNTIF(H5:H39,"nicht durchgeführt")</f>
        <v>35</v>
      </c>
    </row>
    <row r="43" customFormat="false" ht="15" hidden="false" customHeight="false" outlineLevel="0" collapsed="false">
      <c r="E43" s="10" t="s">
        <v>148</v>
      </c>
      <c r="F43" s="11" t="n">
        <f aca="false">COUNTIF(F5:F39,"erfolgreich")</f>
        <v>0</v>
      </c>
      <c r="G43" s="11" t="n">
        <f aca="false">COUNTIF(G5:G39,"erfolgreich")</f>
        <v>0</v>
      </c>
      <c r="H43" s="11" t="n">
        <f aca="false">COUNTIF(H5:H39,"erfolgreich")</f>
        <v>0</v>
      </c>
    </row>
    <row r="44" customFormat="false" ht="15" hidden="false" customHeight="false" outlineLevel="0" collapsed="false">
      <c r="E44" s="10" t="s">
        <v>149</v>
      </c>
      <c r="F44" s="11" t="n">
        <f aca="false">COUNTIF(F5:F39,"fehlgeschlagen")</f>
        <v>0</v>
      </c>
      <c r="G44" s="11" t="n">
        <f aca="false">COUNTIF(G5:G39,"fehlgeschlagen")</f>
        <v>0</v>
      </c>
      <c r="H44" s="11" t="n">
        <f aca="false">COUNTIF(H5:H39,"fehlgeschlagen")</f>
        <v>0</v>
      </c>
    </row>
    <row r="45" customFormat="false" ht="15" hidden="false" customHeight="false" outlineLevel="0" collapsed="false">
      <c r="E45" s="12" t="s">
        <v>150</v>
      </c>
      <c r="F45" s="13" t="n">
        <f aca="false">COUNTA(F5:F39)</f>
        <v>35</v>
      </c>
      <c r="G45" s="13" t="n">
        <f aca="false">COUNTA(G5:G39)</f>
        <v>35</v>
      </c>
      <c r="H45" s="13" t="n">
        <f aca="false">COUNTA(H5:H39)</f>
        <v>35</v>
      </c>
    </row>
  </sheetData>
  <conditionalFormatting sqref="F5:H39">
    <cfRule type="cellIs" priority="2" operator="equal" aboveAverage="0" equalAverage="0" bottom="0" percent="0" rank="0" text="" dxfId="0">
      <formula>"erfolgreich"</formula>
    </cfRule>
    <cfRule type="cellIs" priority="3" operator="equal" aboveAverage="0" equalAverage="0" bottom="0" percent="0" rank="0" text="" dxfId="1">
      <formula>"fehlgeschlagen"</formula>
    </cfRule>
  </conditionalFormatting>
  <dataValidations count="1">
    <dataValidation allowBlank="false" errorStyle="stop" operator="between" showDropDown="false" showErrorMessage="false" showInputMessage="false" sqref="F5:H39" type="list">
      <formula1>"nicht durchgeführt,erfolgreich,fehlgeschlagen"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B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80"/>
  </cols>
  <sheetData>
    <row r="1" customFormat="false" ht="17.35" hidden="false" customHeight="false" outlineLevel="0" collapsed="false">
      <c r="A1" s="1" t="s">
        <v>151</v>
      </c>
      <c r="B1" s="14"/>
    </row>
    <row r="2" customFormat="false" ht="15" hidden="false" customHeight="false" outlineLevel="0" collapsed="false">
      <c r="A2" s="15"/>
      <c r="B2" s="14"/>
    </row>
    <row r="3" customFormat="false" ht="15" hidden="false" customHeight="false" outlineLevel="0" collapsed="false">
      <c r="A3" s="16" t="s">
        <v>152</v>
      </c>
      <c r="B3" s="14"/>
    </row>
    <row r="4" customFormat="false" ht="15" hidden="false" customHeight="false" outlineLevel="0" collapsed="false">
      <c r="A4" s="15" t="s">
        <v>16</v>
      </c>
      <c r="B4" s="14" t="s">
        <v>153</v>
      </c>
    </row>
    <row r="5" customFormat="false" ht="15" hidden="false" customHeight="false" outlineLevel="0" collapsed="false">
      <c r="A5" s="15" t="s">
        <v>148</v>
      </c>
      <c r="B5" s="14" t="s">
        <v>154</v>
      </c>
    </row>
    <row r="6" customFormat="false" ht="15" hidden="false" customHeight="false" outlineLevel="0" collapsed="false">
      <c r="A6" s="15" t="s">
        <v>149</v>
      </c>
      <c r="B6" s="14" t="s">
        <v>155</v>
      </c>
    </row>
    <row r="7" customFormat="false" ht="15" hidden="false" customHeight="false" outlineLevel="0" collapsed="false">
      <c r="A7" s="15"/>
      <c r="B7" s="14"/>
    </row>
    <row r="8" customFormat="false" ht="15" hidden="false" customHeight="false" outlineLevel="0" collapsed="false">
      <c r="A8" s="16" t="s">
        <v>156</v>
      </c>
      <c r="B8" s="14"/>
    </row>
    <row r="9" customFormat="false" ht="15" hidden="false" customHeight="false" outlineLevel="0" collapsed="false">
      <c r="A9" s="15" t="s">
        <v>157</v>
      </c>
      <c r="B9" s="14" t="s">
        <v>158</v>
      </c>
    </row>
    <row r="10" customFormat="false" ht="15" hidden="false" customHeight="false" outlineLevel="0" collapsed="false">
      <c r="A10" s="15" t="s">
        <v>159</v>
      </c>
      <c r="B10" s="14" t="s">
        <v>160</v>
      </c>
    </row>
    <row r="11" customFormat="false" ht="15" hidden="false" customHeight="false" outlineLevel="0" collapsed="false">
      <c r="A11" s="15" t="s">
        <v>161</v>
      </c>
      <c r="B11" s="14" t="s">
        <v>162</v>
      </c>
    </row>
    <row r="12" customFormat="false" ht="15" hidden="false" customHeight="false" outlineLevel="0" collapsed="false">
      <c r="A12" s="15" t="s">
        <v>163</v>
      </c>
      <c r="B12" s="14" t="s">
        <v>164</v>
      </c>
    </row>
    <row r="13" customFormat="false" ht="15" hidden="false" customHeight="false" outlineLevel="0" collapsed="false">
      <c r="A13" s="15"/>
      <c r="B13" s="14"/>
    </row>
    <row r="14" customFormat="false" ht="15" hidden="false" customHeight="false" outlineLevel="0" collapsed="false">
      <c r="A14" s="16" t="s">
        <v>165</v>
      </c>
      <c r="B14" s="14"/>
    </row>
    <row r="15" customFormat="false" ht="15" hidden="false" customHeight="false" outlineLevel="0" collapsed="false">
      <c r="A15" s="15" t="s">
        <v>166</v>
      </c>
      <c r="B15" s="14" t="s">
        <v>167</v>
      </c>
    </row>
    <row r="16" customFormat="false" ht="15" hidden="false" customHeight="false" outlineLevel="0" collapsed="false">
      <c r="A16" s="15" t="s">
        <v>168</v>
      </c>
      <c r="B16" s="14" t="s">
        <v>169</v>
      </c>
    </row>
    <row r="17" customFormat="false" ht="23.85" hidden="false" customHeight="false" outlineLevel="0" collapsed="false">
      <c r="A17" s="15" t="s">
        <v>170</v>
      </c>
      <c r="B17" s="14" t="s">
        <v>171</v>
      </c>
    </row>
    <row r="18" customFormat="false" ht="15" hidden="false" customHeight="false" outlineLevel="0" collapsed="false">
      <c r="A18" s="15" t="s">
        <v>172</v>
      </c>
      <c r="B18" s="14" t="s">
        <v>173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2026-10-22T12:03:22Z</dcterms:created>
  <dc:creator>openpyxl</dc:creator>
  <dc:description/>
  <dc:language>en-US</dc:language>
  <cp:lastModifiedBy/>
  <dcterms:modified xsi:type="dcterms:W3CDTF">2026-10-22T12:03:22Z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